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ement" sheetId="2" r:id="rId4"/>
  </sheets>
  <calcPr calcId="122211"/>
</workbook>
</file>

<file path=xl/sharedStrings.xml><?xml version="1.0" encoding="utf-8"?>
<sst xmlns="http://schemas.openxmlformats.org/spreadsheetml/2006/main" count="56" uniqueCount="56">
  <si>
    <t>Nr zlecenia</t>
  </si>
  <si>
    <t>Miejsce zaladunku</t>
  </si>
  <si>
    <t>Data i godziny zal.</t>
  </si>
  <si>
    <t>Czas zal.</t>
  </si>
  <si>
    <t>Miejsce rozladunku</t>
  </si>
  <si>
    <t>Data i godziny roz.</t>
  </si>
  <si>
    <t>Czas roz.</t>
  </si>
  <si>
    <t>Waga</t>
  </si>
  <si>
    <t>Czas zal+rozl</t>
  </si>
  <si>
    <t>Myjka</t>
  </si>
  <si>
    <t>KM V&amp;R</t>
  </si>
  <si>
    <t>KM Hoyer</t>
  </si>
  <si>
    <t>Różnica</t>
  </si>
  <si>
    <t>Fracht</t>
  </si>
  <si>
    <t>HANKE &amp; SEIDEL GMBH &amp;CO KG, WALDBADSTRASSE 20, DE 33803 STEINHAGEN</t>
  </si>
  <si>
    <t>2025-12-17 18:27 - 21:28</t>
  </si>
  <si>
    <t>3h1m</t>
  </si>
  <si>
    <t>FUJIFILM EUROPE NV, EUROPARK NOORD 21-22, BE 9100 SINT-NIKLAAS</t>
  </si>
  <si>
    <t>2025-12-17 21:29 - 23:29</t>
  </si>
  <si>
    <t>2h0m</t>
  </si>
  <si>
    <t/>
  </si>
  <si>
    <t>5h1m</t>
  </si>
  <si>
    <t>COTAC BELGIUM NV, HAVEN 200, TRANSCONTINENTAALWEG 10</t>
  </si>
  <si>
    <t>BASF SE, CARL-BOSCH-STRASSE 38, DE 67056 LUDWIGSHAFEN</t>
  </si>
  <si>
    <t>2025-12-18 08:16 - 08:17</t>
  </si>
  <si>
    <t>0h1m</t>
  </si>
  <si>
    <t>BAYER AG, KAISER-WILHELM-ALLEE, DE 51368 LEVERKUSEN</t>
  </si>
  <si>
    <t>2025-12-18 08:18 - 08:18</t>
  </si>
  <si>
    <t>0h0m</t>
  </si>
  <si>
    <t>0h2m</t>
  </si>
  <si>
    <t>TANKPOOL24, HAVEN 201, DE 47137 DUISBURG</t>
  </si>
  <si>
    <t>DOW BENELUX BV, SLOEWEG 1, NL 4542 TERNEUZEN</t>
  </si>
  <si>
    <t>2025-12-19 10:49 - 10:49</t>
  </si>
  <si>
    <t>SABIC UK, WILTON INTERNATIONAL, UK TS90 8WS</t>
  </si>
  <si>
    <t>2025-12-19 10:50 - 10:51</t>
  </si>
  <si>
    <t>CLEANAWAY, WILTON SITE, UK TS10 4RF</t>
  </si>
  <si>
    <t>ARKEMA FRANCE, RUE HENRI MOISSAN, FR 69310 PIERRE-BENITE</t>
  </si>
  <si>
    <t>2025-12-20 13:24 - 13:25</t>
  </si>
  <si>
    <t>TOTAL ENERGIES, ZONE INDUSTRIELLE, FR 76700 GONFREVILLE</t>
  </si>
  <si>
    <t>2025-12-20 13:27 - 13:27</t>
  </si>
  <si>
    <t>TRANSPORTS ADAM, ZONE PORTUAIRE, FR 59140 DUNKERQUE</t>
  </si>
  <si>
    <t>EVONIK INDUSTRIES AG, PAUL-BAUMANN-STRASSE 1, DE 45772 MARL</t>
  </si>
  <si>
    <t>2025-12-21 07:34 - 07:34</t>
  </si>
  <si>
    <t>COVESTRO AG, ALTE UERDINGER STRASSE, DE 47829 KREFELD</t>
  </si>
  <si>
    <t>2025-12-21 07:36 - 07:36</t>
  </si>
  <si>
    <t>HOYER TANKRAINIGUNG, INDUSTRIESTRASSE 22, DE 47807 KREFELD</t>
  </si>
  <si>
    <t>PKN ORLEN SA, CHEMIKOW 7, PL 09-411 PLOCK</t>
  </si>
  <si>
    <t>2025-12-22 09:20 - 09:21</t>
  </si>
  <si>
    <t>GRUPA AZOTY SA, KWIATKOWSKIEGO 8, PL 33-101 TARNOW</t>
  </si>
  <si>
    <t>2025-12-22 09:23 - 09:23</t>
  </si>
  <si>
    <t>TRANS-TANK, UL PRZEMYSLOWA 45, PL 30-701 KRAKOW</t>
  </si>
  <si>
    <t>BASF SE, N-GEBÄUDE, DE 67063 LUDWIGSHAFEN</t>
  </si>
  <si>
    <t>2025-12-23 12:00 - 12:00</t>
  </si>
  <si>
    <t>CLARIANT AG, BRÜNINGSTRASSE 50, DE 65926 FRANKFURT-HÖCHST</t>
  </si>
  <si>
    <t>2025-12-23 12:02 - 12:02</t>
  </si>
  <si>
    <t>CARETANK, GUTLEUTSTRASSE 310, DE 60327 FRANKFURT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</si>
</sst>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4" min="1" width="15"/>
  </cols>
  <sheetData>
    <row r="1">
      <c r="A1" t="s">
        <v>0</v>
      </c>
      <c r="B1" t="s">
        <v>1</v>
      </c>
      <c r="C1" t="s">
        <v>2</v>
      </c>
      <c r="D1" t="s">
        <v>3</v>
      </c>
      <c r="E1" t="s">
        <v>4</v>
      </c>
      <c r="F1" t="s">
        <v>5</v>
      </c>
      <c r="G1" t="s">
        <v>6</v>
      </c>
      <c r="H1" t="s">
        <v>7</v>
      </c>
      <c r="I1" t="s">
        <v>8</v>
      </c>
      <c r="J1" t="s">
        <v>9</v>
      </c>
      <c r="K1" t="s">
        <v>10</v>
      </c>
      <c r="L1" t="s">
        <v>11</v>
      </c>
      <c r="M1" t="s">
        <v>12</v>
      </c>
      <c r="N1" t="s">
        <v>13</v>
      </c>
    </row>
    <row r="2">
      <c r="A2">
        <v>4382629</v>
      </c>
      <c r="B2" t="s">
        <v>14</v>
      </c>
      <c r="C2" t="s">
        <v>15</v>
      </c>
      <c r="D2" t="s">
        <v>16</v>
      </c>
      <c r="E2" t="s">
        <v>17</v>
      </c>
      <c r="F2" t="s">
        <v>18</v>
      </c>
      <c r="G2" t="s">
        <v>19</v>
      </c>
      <c r="H2" t="s">
        <v>20</v>
      </c>
      <c r="I2" t="s">
        <v>21</v>
      </c>
      <c r="J2" t="s">
        <v>22</v>
      </c>
      <c r="K2">
        <v>0</v>
      </c>
      <c r="L2">
        <v>0</v>
      </c>
      <c r="M2" t="str">
        <f>L2-K2</f>
      </c>
      <c r="N2">
        <v>0</v>
      </c>
    </row>
    <row r="3">
      <c r="A3">
        <v>4382630</v>
      </c>
      <c r="B3" t="s">
        <v>23</v>
      </c>
      <c r="C3" t="s">
        <v>24</v>
      </c>
      <c r="D3" t="s">
        <v>25</v>
      </c>
      <c r="E3" t="s">
        <v>26</v>
      </c>
      <c r="F3" t="s">
        <v>27</v>
      </c>
      <c r="G3" t="s">
        <v>28</v>
      </c>
      <c r="H3" t="s">
        <v>20</v>
      </c>
      <c r="I3" t="s">
        <v>29</v>
      </c>
      <c r="J3" t="s">
        <v>30</v>
      </c>
      <c r="K3">
        <v>0</v>
      </c>
      <c r="L3">
        <v>0</v>
      </c>
      <c r="M3" t="str">
        <f>L3-K3</f>
      </c>
      <c r="N3">
        <v>0</v>
      </c>
    </row>
    <row r="4">
      <c r="A4">
        <v>4382631</v>
      </c>
      <c r="B4" t="s">
        <v>31</v>
      </c>
      <c r="C4" t="s">
        <v>32</v>
      </c>
      <c r="D4" t="s">
        <v>28</v>
      </c>
      <c r="E4" t="s">
        <v>33</v>
      </c>
      <c r="F4" t="s">
        <v>34</v>
      </c>
      <c r="G4" t="s">
        <v>28</v>
      </c>
      <c r="H4" t="s">
        <v>20</v>
      </c>
      <c r="I4" t="s">
        <v>25</v>
      </c>
      <c r="J4" t="s">
        <v>35</v>
      </c>
      <c r="K4">
        <v>0</v>
      </c>
      <c r="L4">
        <v>0</v>
      </c>
      <c r="M4" t="str">
        <f>L4-K4</f>
      </c>
      <c r="N4">
        <v>0</v>
      </c>
    </row>
    <row r="5">
      <c r="A5">
        <v>4382632</v>
      </c>
      <c r="B5" t="s">
        <v>36</v>
      </c>
      <c r="C5" t="s">
        <v>37</v>
      </c>
      <c r="D5" t="s">
        <v>28</v>
      </c>
      <c r="E5" t="s">
        <v>38</v>
      </c>
      <c r="F5" t="s">
        <v>39</v>
      </c>
      <c r="G5" t="s">
        <v>28</v>
      </c>
      <c r="H5" t="s">
        <v>20</v>
      </c>
      <c r="I5" t="s">
        <v>25</v>
      </c>
      <c r="J5" t="s">
        <v>40</v>
      </c>
      <c r="K5">
        <v>0</v>
      </c>
      <c r="L5">
        <v>0</v>
      </c>
      <c r="M5" t="str">
        <f>L5-K5</f>
      </c>
      <c r="N5">
        <v>0</v>
      </c>
    </row>
    <row r="6">
      <c r="A6">
        <v>4382633</v>
      </c>
      <c r="B6" t="s">
        <v>41</v>
      </c>
      <c r="C6" t="s">
        <v>42</v>
      </c>
      <c r="D6" t="s">
        <v>28</v>
      </c>
      <c r="E6" t="s">
        <v>43</v>
      </c>
      <c r="F6" t="s">
        <v>44</v>
      </c>
      <c r="G6" t="s">
        <v>28</v>
      </c>
      <c r="H6" t="s">
        <v>20</v>
      </c>
      <c r="I6" t="s">
        <v>25</v>
      </c>
      <c r="J6" t="s">
        <v>45</v>
      </c>
      <c r="K6">
        <v>0</v>
      </c>
      <c r="L6">
        <v>0</v>
      </c>
      <c r="M6" t="str">
        <f>L6-K6</f>
      </c>
      <c r="N6">
        <v>0</v>
      </c>
    </row>
    <row r="7">
      <c r="A7">
        <v>4382634</v>
      </c>
      <c r="B7" t="s">
        <v>46</v>
      </c>
      <c r="C7" t="s">
        <v>47</v>
      </c>
      <c r="D7" t="s">
        <v>28</v>
      </c>
      <c r="E7" t="s">
        <v>48</v>
      </c>
      <c r="F7" t="s">
        <v>49</v>
      </c>
      <c r="G7" t="s">
        <v>28</v>
      </c>
      <c r="H7" t="s">
        <v>20</v>
      </c>
      <c r="I7" t="s">
        <v>25</v>
      </c>
      <c r="J7" t="s">
        <v>50</v>
      </c>
      <c r="K7">
        <v>0</v>
      </c>
      <c r="L7">
        <v>0</v>
      </c>
      <c r="M7" t="str">
        <f>L7-K7</f>
      </c>
      <c r="N7">
        <v>0</v>
      </c>
    </row>
    <row r="8">
      <c r="A8">
        <v>4382635</v>
      </c>
      <c r="B8" t="s">
        <v>51</v>
      </c>
      <c r="C8" t="s">
        <v>52</v>
      </c>
      <c r="D8" t="s">
        <v>28</v>
      </c>
      <c r="E8" t="s">
        <v>53</v>
      </c>
      <c r="F8" t="s">
        <v>54</v>
      </c>
      <c r="G8" t="s">
        <v>28</v>
      </c>
      <c r="H8" t="s">
        <v>20</v>
      </c>
      <c r="I8" t="s">
        <v>25</v>
      </c>
      <c r="J8" t="s">
        <v>55</v>
      </c>
      <c r="K8">
        <v>0</v>
      </c>
      <c r="L8">
        <v>0</v>
      </c>
      <c r="M8" t="str">
        <f>L8-K8</f>
      </c>
      <c r="N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